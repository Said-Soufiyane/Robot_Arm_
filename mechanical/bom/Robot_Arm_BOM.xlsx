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Projects\Robot_Arm_\mechanical\bom\"/>
    </mc:Choice>
  </mc:AlternateContent>
  <xr:revisionPtr revIDLastSave="0" documentId="13_ncr:1_{11CF2420-614C-420C-B851-874E08190BEA}" xr6:coauthVersionLast="47" xr6:coauthVersionMax="47" xr10:uidLastSave="{00000000-0000-0000-0000-000000000000}"/>
  <bookViews>
    <workbookView xWindow="2295" yWindow="2295" windowWidth="28800" windowHeight="15885" activeTab="3" xr2:uid="{00000000-000D-0000-FFFF-FFFF00000000}"/>
  </bookViews>
  <sheets>
    <sheet name="Summary" sheetId="1" r:id="rId1"/>
    <sheet name="Purchased &amp; Owned" sheetId="2" r:id="rId2"/>
    <sheet name="Needed to Run" sheetId="3" r:id="rId3"/>
    <sheet name="Future Upgrades" sheetId="4" r:id="rId4"/>
  </sheets>
  <definedNames>
    <definedName name="_xlnm._FilterDatabase" localSheetId="3" hidden="1">'Future Upgrades'!$A$3:$I$3</definedName>
    <definedName name="_xlnm._FilterDatabase" localSheetId="2" hidden="1">'Needed to Run'!$A$3:$J$3</definedName>
    <definedName name="_xlnm._FilterDatabase" localSheetId="1" hidden="1">'Purchased &amp; Owned'!$A$3:$M$3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4" l="1"/>
  <c r="B7" i="1" s="1"/>
  <c r="F7" i="3"/>
  <c r="H28" i="2"/>
  <c r="B5" i="1" s="1"/>
  <c r="B10" i="1" s="1"/>
  <c r="B6" i="1"/>
  <c r="B9" i="1" l="1"/>
</calcChain>
</file>

<file path=xl/sharedStrings.xml><?xml version="1.0" encoding="utf-8"?>
<sst xmlns="http://schemas.openxmlformats.org/spreadsheetml/2006/main" count="320" uniqueCount="197">
  <si>
    <t>Robot Arm Project – Cost Summary</t>
  </si>
  <si>
    <t>Goal</t>
  </si>
  <si>
    <t>Affordable bench robot arm, ≥1 kg payload class, total &lt;$350</t>
  </si>
  <si>
    <t>Paid so far (known totals)</t>
  </si>
  <si>
    <t>Estimated remaining (build-blocking)</t>
  </si>
  <si>
    <t>Estimated optional upgrades</t>
  </si>
  <si>
    <t>Projected total (paid + needed)</t>
  </si>
  <si>
    <t>Projected total (paid + needed + future)</t>
  </si>
  <si>
    <t>Notes</t>
  </si>
  <si>
    <t>Robot Arm BOM – Purchased &amp; Owned</t>
  </si>
  <si>
    <t>Category</t>
  </si>
  <si>
    <t>Subsystem</t>
  </si>
  <si>
    <t>Part</t>
  </si>
  <si>
    <t>Key specs</t>
  </si>
  <si>
    <t>Qty</t>
  </si>
  <si>
    <t>Unit price (item)</t>
  </si>
  <si>
    <t>Item subtotal</t>
  </si>
  <si>
    <t>Paid total (if known)</t>
  </si>
  <si>
    <t>Vendor</t>
  </si>
  <si>
    <t>Status</t>
  </si>
  <si>
    <t>Order/ID</t>
  </si>
  <si>
    <t>Link</t>
  </si>
  <si>
    <t>Fasteners</t>
  </si>
  <si>
    <t>Assembly</t>
  </si>
  <si>
    <t>Heat-set inserts kit (Quevaeco, 320 pcs)</t>
  </si>
  <si>
    <t>M3/M4 brass inserts, 10 sizes</t>
  </si>
  <si>
    <t>Amazon</t>
  </si>
  <si>
    <t>Ordered</t>
  </si>
  <si>
    <t>111-4629229-2145044</t>
  </si>
  <si>
    <t>Paid as part of Amazon order total $19.77 (with M3 screw kit).</t>
  </si>
  <si>
    <t>M3 screw assortment kit (VGBUY, 600 pcs)</t>
  </si>
  <si>
    <t>M3 socket head + nuts + washers, 6–30mm</t>
  </si>
  <si>
    <t>Paid as part of Amazon order total $19.77 (with inserts kit).</t>
  </si>
  <si>
    <t>M4 screw/nut/washer kit (Fgruh, 490 pcs)</t>
  </si>
  <si>
    <t>M4 socket head + nuts + washers, 6–30mm</t>
  </si>
  <si>
    <t>111-3472011-3016224</t>
  </si>
  <si>
    <t>Order total $10.69.</t>
  </si>
  <si>
    <t>Mechanical</t>
  </si>
  <si>
    <t>J3 support</t>
  </si>
  <si>
    <t>608-2RS bearings (SHKI, 20 pcs)</t>
  </si>
  <si>
    <t>8×22×7mm, double rubber seal</t>
  </si>
  <si>
    <t>113-8232466-0171457</t>
  </si>
  <si>
    <t>Use 2 for J3 axle; extras for idlers/other joints.</t>
  </si>
  <si>
    <t>8mm hardened shaft rods (2-pack)</t>
  </si>
  <si>
    <t>8mm × 400mm, h8 tolerance</t>
  </si>
  <si>
    <t>Cut for J3 axle (now) and future axles.</t>
  </si>
  <si>
    <t>8mm→8mm rigid coupling</t>
  </si>
  <si>
    <t>L=25mm, D=20mm, aluminum</t>
  </si>
  <si>
    <t>Gearbox output to axle (J3).</t>
  </si>
  <si>
    <t>8mm split-clamp shaft collars (uxcell, 6 pcs)</t>
  </si>
  <si>
    <t>Two-piece clamp, 8mm bore, 25mm OD</t>
  </si>
  <si>
    <t>Use 2 for J3; remaining are spares.</t>
  </si>
  <si>
    <t>Actuators</t>
  </si>
  <si>
    <t>J1/J3/J4–J6</t>
  </si>
  <si>
    <t>NEMA17 stepper motors (StepperOnline, 5-pack)</t>
  </si>
  <si>
    <t>42×42×48mm, 2.0A, ~59Ncm holding</t>
  </si>
  <si>
    <t>Use 1 for J1, 1 for J3 input, 3 for J4–J6.</t>
  </si>
  <si>
    <t>Drivers</t>
  </si>
  <si>
    <t>Stepper drivers</t>
  </si>
  <si>
    <t>TMC2209 V2.0 StepStick drivers (Teyleten, 5-pack)</t>
  </si>
  <si>
    <t>UART-capable, heatsinks included</t>
  </si>
  <si>
    <t>113-4114293-2781827</t>
  </si>
  <si>
    <t>Paid total shown as $23.53.</t>
  </si>
  <si>
    <t>Transmission</t>
  </si>
  <si>
    <t>J3 gearbox</t>
  </si>
  <si>
    <t>NEMA17 planetary gearbox</t>
  </si>
  <si>
    <t>50:1, input 5mm, output 8mm</t>
  </si>
  <si>
    <t>AliExpress</t>
  </si>
  <si>
    <t>8208237185546697</t>
  </si>
  <si>
    <t>Paid total shown as $35.43 (import charges included).</t>
  </si>
  <si>
    <t>Actuator+Transmission</t>
  </si>
  <si>
    <t>J2 gearbox+driver</t>
  </si>
  <si>
    <t>NEMA23 planetary kit (motor + 50:1 gearbox + TB6600)</t>
  </si>
  <si>
    <t>Motor 1.2N·m, output 14mm keyed</t>
  </si>
  <si>
    <t>8208237185566697</t>
  </si>
  <si>
    <t>Paid total shown as $72.30.</t>
  </si>
  <si>
    <t>Control</t>
  </si>
  <si>
    <t>Controller</t>
  </si>
  <si>
    <t>ESP32 dev board</t>
  </si>
  <si>
    <t>USB powered, 3.3V logic</t>
  </si>
  <si>
    <t>Existing</t>
  </si>
  <si>
    <t>Have</t>
  </si>
  <si>
    <t>Power via bench PSU USB port.</t>
  </si>
  <si>
    <t>Power</t>
  </si>
  <si>
    <t>Supply</t>
  </si>
  <si>
    <t>Bench power supply</t>
  </si>
  <si>
    <t>30V 10A + USB 5V port</t>
  </si>
  <si>
    <t>Run motors ~24V; USB powers ESP32.</t>
  </si>
  <si>
    <t>Safety</t>
  </si>
  <si>
    <t>E-stop</t>
  </si>
  <si>
    <t>Kill switch</t>
  </si>
  <si>
    <t>Use as VMOT cut if DC-rated</t>
  </si>
  <si>
    <t>Prefer cutting VMOT to all drivers.</t>
  </si>
  <si>
    <t>Cooling</t>
  </si>
  <si>
    <t>Electronics cooling</t>
  </si>
  <si>
    <t>PC fan</t>
  </si>
  <si>
    <t>Any spare 12V/24V fan</t>
  </si>
  <si>
    <t>Blow across TMC2209 heatsinks.</t>
  </si>
  <si>
    <t>Sensors</t>
  </si>
  <si>
    <t>Limits</t>
  </si>
  <si>
    <t>Roller limit switches</t>
  </si>
  <si>
    <t>Microswitch rollers</t>
  </si>
  <si>
    <t>Use for homing/limits.</t>
  </si>
  <si>
    <t>End effector</t>
  </si>
  <si>
    <t>Gripper</t>
  </si>
  <si>
    <t>MG995 servo</t>
  </si>
  <si>
    <t>Metal gear servo</t>
  </si>
  <si>
    <t>Use for simple claw.</t>
  </si>
  <si>
    <t>Materials</t>
  </si>
  <si>
    <t>Printing</t>
  </si>
  <si>
    <t>Filament</t>
  </si>
  <si>
    <t>ABS/PETG/PC</t>
  </si>
  <si>
    <t>PC recommended for hub/clamps; PETG/ABS for covers.</t>
  </si>
  <si>
    <t>Wiring</t>
  </si>
  <si>
    <t>Electronics</t>
  </si>
  <si>
    <t>Hookup wire</t>
  </si>
  <si>
    <t>22 AWG (signals + short VMOT runs)</t>
  </si>
  <si>
    <t>Assumed on-hand per user.</t>
  </si>
  <si>
    <t>Consumables</t>
  </si>
  <si>
    <t>Heatshrink / electrical tape</t>
  </si>
  <si>
    <t>Insulation + strain relief</t>
  </si>
  <si>
    <t>Zip ties</t>
  </si>
  <si>
    <t>Wire management</t>
  </si>
  <si>
    <t>Prototyping</t>
  </si>
  <si>
    <t>Breadboard</t>
  </si>
  <si>
    <t>Temporary bring-up / testing only</t>
  </si>
  <si>
    <t>Perfboard (small)</t>
  </si>
  <si>
    <t>For more reliable driver wiring than breadboard</t>
  </si>
  <si>
    <t>Tools</t>
  </si>
  <si>
    <t>Soldering iron + solder</t>
  </si>
  <si>
    <t>For headers/wires if needed</t>
  </si>
  <si>
    <t>TOTAL (Paid totals only)</t>
  </si>
  <si>
    <t>Robot Arm – Parts Needed to Run (Build-Blocking)</t>
  </si>
  <si>
    <t>Est. unit cost</t>
  </si>
  <si>
    <t>Mechanicals</t>
  </si>
  <si>
    <t>Printed parts</t>
  </si>
  <si>
    <t>Printed structural parts (base + links + motor mounts)</t>
  </si>
  <si>
    <t>Enough parts to assemble v1 arm + short test links</t>
  </si>
  <si>
    <t>3D Printed</t>
  </si>
  <si>
    <t>Required</t>
  </si>
  <si>
    <t>Print short test links first; full-length links after joints pass load test.</t>
  </si>
  <si>
    <t>J3 hub</t>
  </si>
  <si>
    <t>J3 bearing block / axle support</t>
  </si>
  <si>
    <t>2× 608 pockets (8x22x7) + 8mm shaft capture + collar clearance</t>
  </si>
  <si>
    <t>Bearings carry load; gearbox only drives rotation.</t>
  </si>
  <si>
    <t>J2 hub</t>
  </si>
  <si>
    <t>Printed keyed split-clamp hub</t>
  </si>
  <si>
    <t>14mm keyed bore + keyway; split clamp; bolt pattern for upper arm link</t>
  </si>
  <si>
    <t>Measure key width/height when kit arrives; print in PC if possible.</t>
  </si>
  <si>
    <t>TOTAL (estimated)</t>
  </si>
  <si>
    <t>Robot Arm – Future Upgrades (Not required for v1 goals)</t>
  </si>
  <si>
    <t>Priority</t>
  </si>
  <si>
    <t>Dedicated latching mushroom E-stop (DC-rated)</t>
  </si>
  <si>
    <t>NC contacts, panel mount</t>
  </si>
  <si>
    <t>Optional</t>
  </si>
  <si>
    <t>Better than a generic switch if yours isn't DC-rated.</t>
  </si>
  <si>
    <t>24V→5V buck converter (standalone)</t>
  </si>
  <si>
    <t>LM2596 or similar</t>
  </si>
  <si>
    <t>Not required if ESP32 stays USB-powered.</t>
  </si>
  <si>
    <t>J2 stiffness</t>
  </si>
  <si>
    <t>J2 external support bearings + axle</t>
  </si>
  <si>
    <t>Bearing-supported shoulder output to reduce gearbox bending load</t>
  </si>
  <si>
    <t>Mixed</t>
  </si>
  <si>
    <t>Upgrade if you see flex/wobble.</t>
  </si>
  <si>
    <t>Cable management</t>
  </si>
  <si>
    <t>Cable chain + mounts</t>
  </si>
  <si>
    <t>Keeps wires from snagging</t>
  </si>
  <si>
    <t>Sensing</t>
  </si>
  <si>
    <t>Precision</t>
  </si>
  <si>
    <t>Encoders (closed-loop upgrade)</t>
  </si>
  <si>
    <t>For higher precision / anti-skip</t>
  </si>
  <si>
    <t>Not needed for 1kg-class open-loop goals.</t>
  </si>
  <si>
    <t>Better gripper (servo/stepper)</t>
  </si>
  <si>
    <t>Higher grip force + better jaws</t>
  </si>
  <si>
    <t>Power protection</t>
  </si>
  <si>
    <t>Inline fuse + holder</t>
  </si>
  <si>
    <t>Blade fuse holder + 5–10A fuse</t>
  </si>
  <si>
    <t>Good protection against wiring shorts; not required if careful with bench PSU current limit.</t>
  </si>
  <si>
    <t>Power distribution</t>
  </si>
  <si>
    <t>Terminal blocks / lever nuts</t>
  </si>
  <si>
    <t>Convenience for VMOT/GND bus (WAGO-style or screw terminals)</t>
  </si>
  <si>
    <t>Not required; makes rewiring easier + cleaner.</t>
  </si>
  <si>
    <t>Heavier motor power wire</t>
  </si>
  <si>
    <t>18–20 AWG for VMOT/GND bus (recommended for final build)</t>
  </si>
  <si>
    <t>You can start with 22 AWG for short runs; upgrade later.</t>
  </si>
  <si>
    <t>Heat inserts kit</t>
  </si>
  <si>
    <t>m3 screw kit</t>
  </si>
  <si>
    <t>m4 screw kit</t>
  </si>
  <si>
    <t>608 2rs bearings</t>
  </si>
  <si>
    <t>Shaft rods</t>
  </si>
  <si>
    <t>8mm shaft coupling</t>
  </si>
  <si>
    <t>Shaft collar</t>
  </si>
  <si>
    <t>Nema 17</t>
  </si>
  <si>
    <t>TMC2209 drivers</t>
  </si>
  <si>
    <t>Nema17 planetary</t>
  </si>
  <si>
    <t>Nema 23 Kit</t>
  </si>
  <si>
    <t>Some Amazon order totals include multiple items (e.g., $19.77 includes both inserts + M3 screw kit). If you want per-item exact costs, paste the invoice line-item prices and I can update. This is a living BOM and will be subject to changes in the forseeable future.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</si>
</sst>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1"/>
    <xf numFmtId="0" fontId="5" fillId="0" borderId="1" xfId="1" applyBorder="1" applyAlignment="1">
      <alignment vertical="top" wrapText="1"/>
    </xf>
    <xf numFmtId="8" fontId="6" fillId="0" borderId="0" xfId="0" applyNumberFormat="1" applyFont="1"/>
    <xf numFmtId="0" fontId="1" fillId="0" borderId="0" xfId="0" applyFont="1" applyAlignment="1">
      <alignment vertic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0QEYADRQ" TargetMode="External"/><Relationship Id="rId3" Type="http://schemas.openxmlformats.org/officeDocument/2006/relationships/hyperlink" Target="https://www.amazon.com/dp/B0FG2D92BV?ref=ppx_yo2ov_dt_b_fed_asin_title&amp;th=1" TargetMode="External"/><Relationship Id="rId7" Type="http://schemas.openxmlformats.org/officeDocument/2006/relationships/hyperlink" Target="https://www.amazon.com/dp/B0FGX7KR9T?ref=ppx_yo2ov_dt_b_fed_asin_title" TargetMode="External"/><Relationship Id="rId2" Type="http://schemas.openxmlformats.org/officeDocument/2006/relationships/hyperlink" Target="Amazon.com:%20Quevaeco%20320pcs%20M3%20M4%20Brass%20Threaded%20Inserts%20Kit,%20Heat%20Set%20Knurled%20Nuts%20for%203D%20Printing%20Plastic%20ABS%20PETG,%2010%20Sizes%20Metric%20Thread%20Inserts%20:%20Industrial%20&amp;%20Scientific" TargetMode="External"/><Relationship Id="rId1" Type="http://schemas.openxmlformats.org/officeDocument/2006/relationships/hyperlink" Target="Amazon.com:%20Quevaeco%20320pcs%20M3%20M4%20Brass%20Threaded%20Inserts%20Kit,%20Heat%20Set%20Knurled%20Nuts%20for%203D%20Printing%20Plastic%20ABS%20PETG,%2010%20Sizes%20Metric%20Thread%20Inserts%20:%20Industrial%20&amp;%20Scientific" TargetMode="External"/><Relationship Id="rId6" Type="http://schemas.openxmlformats.org/officeDocument/2006/relationships/hyperlink" Target="8mm%20to%208mm%20Shaft%20Coupling%2025mm%20Length%2020mm%20Diameter%20Aluminum%20Alloy%20Coupler%20for%20CNC%20Machine%203D%20Printer%20Motor%20Encoder:%20Amazon.com:%20Industrial%20&amp;%20Scientific" TargetMode="External"/><Relationship Id="rId11" Type="http://schemas.openxmlformats.org/officeDocument/2006/relationships/hyperlink" Target="https://www.aliexpress.us/item/3256809288060861.html" TargetMode="External"/><Relationship Id="rId5" Type="http://schemas.openxmlformats.org/officeDocument/2006/relationships/hyperlink" Target="8mm%20x%20400mm%20(0.315%20x%2015.75%20inch)%20Linear%20Motion%20Rods%20Shaft%20(Pack%20of%202)-%20Case-Hardened%20Chrome%20Linear%20Rails%20Guide%20for%203D%20Printers,%20CNC,%20Robotics%20&amp;%20DIY%20-%20Metric%20h8%20Tolerance:%20Amazon.com:%20Industrial%20&amp;%20Scientific" TargetMode="External"/><Relationship Id="rId10" Type="http://schemas.openxmlformats.org/officeDocument/2006/relationships/hyperlink" Target="https://www.aliexpress.us/item/3256810249188589.html" TargetMode="External"/><Relationship Id="rId4" Type="http://schemas.openxmlformats.org/officeDocument/2006/relationships/hyperlink" Target="Amazon.com:%20SHKI%2020%20Pcs%20608%202RS%20Ball%20Bearings%20&#8211;%20Bearing%20Steel%20and%20Double%20Rubber%20Sealed%20Miniature%20Deep%20Groove%20Ball%20Bearings%20(8mm%20x%2022mm%20x%207mm)%20(608%202RS)%20:%20Sports%20&amp;%20Outdoors" TargetMode="External"/><Relationship Id="rId9" Type="http://schemas.openxmlformats.org/officeDocument/2006/relationships/hyperlink" Target="https://www.amazon.com/dp/B09BK57K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2" sqref="B12"/>
    </sheetView>
  </sheetViews>
  <sheetFormatPr defaultRowHeight="15" x14ac:dyDescent="0.25"/>
  <cols>
    <col min="1" max="1" width="28" customWidth="1"/>
    <col min="2" max="2" width="95.85546875" customWidth="1"/>
  </cols>
  <sheetData>
    <row r="1" spans="1:2" ht="21" x14ac:dyDescent="0.3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/>
      <c r="B4" s="3"/>
    </row>
    <row r="5" spans="1:2" x14ac:dyDescent="0.25">
      <c r="A5" s="2" t="s">
        <v>3</v>
      </c>
      <c r="B5" s="4">
        <f>'Purchased &amp; Owned'!H28</f>
        <v>253.55</v>
      </c>
    </row>
    <row r="6" spans="1:2" x14ac:dyDescent="0.25">
      <c r="A6" s="2" t="s">
        <v>4</v>
      </c>
      <c r="B6" s="4">
        <f>'Needed to Run'!F7</f>
        <v>0</v>
      </c>
    </row>
    <row r="7" spans="1:2" x14ac:dyDescent="0.25">
      <c r="A7" s="2" t="s">
        <v>5</v>
      </c>
      <c r="B7" s="4">
        <f>'Future Upgrades'!F13</f>
        <v>114</v>
      </c>
    </row>
    <row r="8" spans="1:2" x14ac:dyDescent="0.25">
      <c r="A8" s="2"/>
      <c r="B8" s="3"/>
    </row>
    <row r="9" spans="1:2" x14ac:dyDescent="0.25">
      <c r="A9" s="2" t="s">
        <v>6</v>
      </c>
      <c r="B9" s="4">
        <f>B5+B6</f>
        <v>253.55</v>
      </c>
    </row>
    <row r="10" spans="1:2" x14ac:dyDescent="0.25">
      <c r="A10" s="2" t="s">
        <v>7</v>
      </c>
      <c r="B10" s="4">
        <f>B5+B6+B7</f>
        <v>367.55</v>
      </c>
    </row>
    <row r="12" spans="1:2" ht="39.950000000000003" customHeight="1" x14ac:dyDescent="0.25">
      <c r="A12" s="5" t="s">
        <v>8</v>
      </c>
      <c r="B12" s="3" t="s">
        <v>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workbookViewId="0">
      <pane ySplit="3" topLeftCell="A10" activePane="bottomLeft" state="frozen"/>
      <selection pane="bottomLeft" activeCell="J14" sqref="J14"/>
    </sheetView>
  </sheetViews>
  <sheetFormatPr defaultRowHeight="15" x14ac:dyDescent="0.25"/>
  <cols>
    <col min="1" max="1" width="14" customWidth="1"/>
    <col min="2" max="2" width="16" customWidth="1"/>
    <col min="3" max="3" width="38" customWidth="1"/>
    <col min="4" max="4" width="32" customWidth="1"/>
    <col min="5" max="5" width="6" customWidth="1"/>
    <col min="6" max="7" width="14" customWidth="1"/>
    <col min="8" max="8" width="16" customWidth="1"/>
    <col min="9" max="9" width="12" customWidth="1"/>
    <col min="10" max="10" width="10" customWidth="1"/>
    <col min="11" max="11" width="18" customWidth="1"/>
    <col min="12" max="12" width="28" customWidth="1"/>
    <col min="13" max="13" width="36" customWidth="1"/>
  </cols>
  <sheetData>
    <row r="1" spans="1:13" ht="18.75" x14ac:dyDescent="0.25">
      <c r="A1" s="14" t="s">
        <v>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3" ht="30" x14ac:dyDescent="0.2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8</v>
      </c>
    </row>
    <row r="4" spans="1:13" ht="30" x14ac:dyDescent="0.25">
      <c r="A4" s="7" t="s">
        <v>22</v>
      </c>
      <c r="B4" s="7" t="s">
        <v>23</v>
      </c>
      <c r="C4" s="7" t="s">
        <v>24</v>
      </c>
      <c r="D4" s="7" t="s">
        <v>25</v>
      </c>
      <c r="E4" s="8">
        <v>1</v>
      </c>
      <c r="F4" s="9">
        <v>9.49</v>
      </c>
      <c r="G4" s="9">
        <v>9.49</v>
      </c>
      <c r="H4" s="13">
        <v>9.49</v>
      </c>
      <c r="I4" s="7" t="s">
        <v>26</v>
      </c>
      <c r="J4" s="7" t="s">
        <v>27</v>
      </c>
      <c r="K4" s="7" t="s">
        <v>28</v>
      </c>
      <c r="L4" s="11" t="s">
        <v>185</v>
      </c>
      <c r="M4" s="7" t="s">
        <v>29</v>
      </c>
    </row>
    <row r="5" spans="1:13" ht="30" x14ac:dyDescent="0.25">
      <c r="A5" s="7" t="s">
        <v>22</v>
      </c>
      <c r="B5" s="7" t="s">
        <v>23</v>
      </c>
      <c r="C5" s="7" t="s">
        <v>30</v>
      </c>
      <c r="D5" s="7" t="s">
        <v>31</v>
      </c>
      <c r="E5" s="8">
        <v>1</v>
      </c>
      <c r="F5" s="9">
        <v>8.99</v>
      </c>
      <c r="G5" s="9">
        <v>8.99</v>
      </c>
      <c r="H5" s="9">
        <v>8.99</v>
      </c>
      <c r="I5" s="7" t="s">
        <v>26</v>
      </c>
      <c r="J5" s="7" t="s">
        <v>27</v>
      </c>
      <c r="K5" s="7" t="s">
        <v>28</v>
      </c>
      <c r="L5" s="12" t="s">
        <v>186</v>
      </c>
      <c r="M5" s="7" t="s">
        <v>32</v>
      </c>
    </row>
    <row r="6" spans="1:13" ht="30" x14ac:dyDescent="0.25">
      <c r="A6" s="7" t="s">
        <v>22</v>
      </c>
      <c r="B6" s="7" t="s">
        <v>23</v>
      </c>
      <c r="C6" s="7" t="s">
        <v>33</v>
      </c>
      <c r="D6" s="7" t="s">
        <v>34</v>
      </c>
      <c r="E6" s="7">
        <v>1</v>
      </c>
      <c r="F6" s="9">
        <v>10.69</v>
      </c>
      <c r="G6" s="9">
        <v>10.69</v>
      </c>
      <c r="H6" s="9">
        <v>10.69</v>
      </c>
      <c r="I6" s="7" t="s">
        <v>26</v>
      </c>
      <c r="J6" s="7" t="s">
        <v>27</v>
      </c>
      <c r="K6" s="7" t="s">
        <v>35</v>
      </c>
      <c r="L6" s="12" t="s">
        <v>187</v>
      </c>
      <c r="M6" s="7" t="s">
        <v>36</v>
      </c>
    </row>
    <row r="7" spans="1:13" ht="30" x14ac:dyDescent="0.25">
      <c r="A7" s="7" t="s">
        <v>37</v>
      </c>
      <c r="B7" s="7" t="s">
        <v>38</v>
      </c>
      <c r="C7" s="7" t="s">
        <v>39</v>
      </c>
      <c r="D7" s="7" t="s">
        <v>40</v>
      </c>
      <c r="E7" s="8">
        <v>20</v>
      </c>
      <c r="F7" s="9">
        <v>0.35</v>
      </c>
      <c r="G7" s="9">
        <v>6.99</v>
      </c>
      <c r="H7" s="9">
        <v>6.99</v>
      </c>
      <c r="I7" s="7" t="s">
        <v>26</v>
      </c>
      <c r="J7" s="7" t="s">
        <v>27</v>
      </c>
      <c r="K7" s="7" t="s">
        <v>41</v>
      </c>
      <c r="L7" s="12" t="s">
        <v>188</v>
      </c>
      <c r="M7" s="7" t="s">
        <v>42</v>
      </c>
    </row>
    <row r="8" spans="1:13" ht="30" x14ac:dyDescent="0.25">
      <c r="A8" s="7" t="s">
        <v>37</v>
      </c>
      <c r="B8" s="7" t="s">
        <v>38</v>
      </c>
      <c r="C8" s="7" t="s">
        <v>43</v>
      </c>
      <c r="D8" s="7" t="s">
        <v>44</v>
      </c>
      <c r="E8" s="8">
        <v>2</v>
      </c>
      <c r="F8" s="9">
        <v>7</v>
      </c>
      <c r="G8" s="9">
        <v>13.99</v>
      </c>
      <c r="H8" s="9">
        <v>13.99</v>
      </c>
      <c r="I8" s="7" t="s">
        <v>26</v>
      </c>
      <c r="J8" s="7" t="s">
        <v>27</v>
      </c>
      <c r="K8" s="7" t="s">
        <v>41</v>
      </c>
      <c r="L8" s="12" t="s">
        <v>189</v>
      </c>
      <c r="M8" s="7" t="s">
        <v>45</v>
      </c>
    </row>
    <row r="9" spans="1:13" ht="30" x14ac:dyDescent="0.25">
      <c r="A9" s="7" t="s">
        <v>37</v>
      </c>
      <c r="B9" s="7" t="s">
        <v>38</v>
      </c>
      <c r="C9" s="7" t="s">
        <v>46</v>
      </c>
      <c r="D9" s="7" t="s">
        <v>47</v>
      </c>
      <c r="E9" s="8">
        <v>1</v>
      </c>
      <c r="F9" s="9">
        <v>9.49</v>
      </c>
      <c r="G9" s="9">
        <v>9.49</v>
      </c>
      <c r="H9" s="9">
        <v>9.49</v>
      </c>
      <c r="I9" s="7" t="s">
        <v>26</v>
      </c>
      <c r="J9" s="7" t="s">
        <v>27</v>
      </c>
      <c r="K9" s="7" t="s">
        <v>41</v>
      </c>
      <c r="L9" s="12" t="s">
        <v>190</v>
      </c>
      <c r="M9" s="7" t="s">
        <v>48</v>
      </c>
    </row>
    <row r="10" spans="1:13" ht="30" x14ac:dyDescent="0.25">
      <c r="A10" s="7" t="s">
        <v>37</v>
      </c>
      <c r="B10" s="7" t="s">
        <v>38</v>
      </c>
      <c r="C10" s="7" t="s">
        <v>49</v>
      </c>
      <c r="D10" s="7" t="s">
        <v>50</v>
      </c>
      <c r="E10" s="8">
        <v>6</v>
      </c>
      <c r="F10" s="9">
        <v>1.53</v>
      </c>
      <c r="G10" s="9">
        <v>9.19</v>
      </c>
      <c r="H10" s="9">
        <v>9.19</v>
      </c>
      <c r="I10" s="7" t="s">
        <v>26</v>
      </c>
      <c r="J10" s="7" t="s">
        <v>81</v>
      </c>
      <c r="K10" s="7" t="s">
        <v>41</v>
      </c>
      <c r="L10" s="12" t="s">
        <v>191</v>
      </c>
      <c r="M10" s="7" t="s">
        <v>51</v>
      </c>
    </row>
    <row r="11" spans="1:13" ht="30" x14ac:dyDescent="0.25">
      <c r="A11" s="7" t="s">
        <v>52</v>
      </c>
      <c r="B11" s="7" t="s">
        <v>53</v>
      </c>
      <c r="C11" s="7" t="s">
        <v>54</v>
      </c>
      <c r="D11" s="7" t="s">
        <v>55</v>
      </c>
      <c r="E11" s="8">
        <v>5</v>
      </c>
      <c r="F11" s="9">
        <v>11</v>
      </c>
      <c r="G11" s="9">
        <v>55</v>
      </c>
      <c r="H11" s="9">
        <v>55</v>
      </c>
      <c r="I11" s="7" t="s">
        <v>26</v>
      </c>
      <c r="J11" s="7" t="s">
        <v>81</v>
      </c>
      <c r="K11" s="7" t="s">
        <v>41</v>
      </c>
      <c r="L11" s="12" t="s">
        <v>192</v>
      </c>
      <c r="M11" s="7" t="s">
        <v>56</v>
      </c>
    </row>
    <row r="12" spans="1:13" ht="30" x14ac:dyDescent="0.25">
      <c r="A12" s="7" t="s">
        <v>57</v>
      </c>
      <c r="B12" s="7" t="s">
        <v>58</v>
      </c>
      <c r="C12" s="7" t="s">
        <v>59</v>
      </c>
      <c r="D12" s="7" t="s">
        <v>60</v>
      </c>
      <c r="E12" s="7">
        <v>5</v>
      </c>
      <c r="F12" s="9">
        <v>4.4000000000000004</v>
      </c>
      <c r="G12" s="9">
        <v>21.99</v>
      </c>
      <c r="H12" s="9">
        <v>21.99</v>
      </c>
      <c r="I12" s="7" t="s">
        <v>26</v>
      </c>
      <c r="J12" s="7" t="s">
        <v>81</v>
      </c>
      <c r="K12" s="7" t="s">
        <v>61</v>
      </c>
      <c r="L12" s="12" t="s">
        <v>193</v>
      </c>
      <c r="M12" s="7" t="s">
        <v>62</v>
      </c>
    </row>
    <row r="13" spans="1:13" ht="30" x14ac:dyDescent="0.25">
      <c r="A13" s="7" t="s">
        <v>63</v>
      </c>
      <c r="B13" s="7" t="s">
        <v>64</v>
      </c>
      <c r="C13" s="7" t="s">
        <v>65</v>
      </c>
      <c r="D13" s="7" t="s">
        <v>66</v>
      </c>
      <c r="E13" s="8">
        <v>1</v>
      </c>
      <c r="F13" s="9">
        <v>24.25</v>
      </c>
      <c r="G13" s="9">
        <v>24.25</v>
      </c>
      <c r="H13" s="9">
        <v>35.43</v>
      </c>
      <c r="I13" s="7" t="s">
        <v>67</v>
      </c>
      <c r="J13" s="7" t="s">
        <v>81</v>
      </c>
      <c r="K13" s="7" t="s">
        <v>68</v>
      </c>
      <c r="L13" s="12" t="s">
        <v>194</v>
      </c>
      <c r="M13" s="7" t="s">
        <v>69</v>
      </c>
    </row>
    <row r="14" spans="1:13" ht="30" x14ac:dyDescent="0.25">
      <c r="A14" s="7" t="s">
        <v>70</v>
      </c>
      <c r="B14" s="7" t="s">
        <v>71</v>
      </c>
      <c r="C14" s="7" t="s">
        <v>72</v>
      </c>
      <c r="D14" s="7" t="s">
        <v>73</v>
      </c>
      <c r="E14" s="8">
        <v>1</v>
      </c>
      <c r="F14" s="9">
        <v>67.569999999999993</v>
      </c>
      <c r="G14" s="9">
        <v>67.569999999999993</v>
      </c>
      <c r="H14" s="9">
        <v>72.3</v>
      </c>
      <c r="I14" s="7" t="s">
        <v>67</v>
      </c>
      <c r="J14" s="7" t="s">
        <v>81</v>
      </c>
      <c r="K14" s="7" t="s">
        <v>74</v>
      </c>
      <c r="L14" s="12" t="s">
        <v>195</v>
      </c>
      <c r="M14" s="7" t="s">
        <v>75</v>
      </c>
    </row>
    <row r="15" spans="1:13" x14ac:dyDescent="0.25">
      <c r="A15" s="7" t="s">
        <v>76</v>
      </c>
      <c r="B15" s="7" t="s">
        <v>77</v>
      </c>
      <c r="C15" s="7" t="s">
        <v>78</v>
      </c>
      <c r="D15" s="7" t="s">
        <v>79</v>
      </c>
      <c r="E15" s="8">
        <v>1</v>
      </c>
      <c r="F15" s="9">
        <v>0</v>
      </c>
      <c r="G15" s="9">
        <v>0</v>
      </c>
      <c r="H15" s="9">
        <v>0</v>
      </c>
      <c r="I15" s="7" t="s">
        <v>80</v>
      </c>
      <c r="J15" s="7" t="s">
        <v>81</v>
      </c>
      <c r="K15" s="7"/>
      <c r="L15" s="12"/>
      <c r="M15" s="7" t="s">
        <v>82</v>
      </c>
    </row>
    <row r="16" spans="1:13" x14ac:dyDescent="0.25">
      <c r="A16" s="7" t="s">
        <v>83</v>
      </c>
      <c r="B16" s="7" t="s">
        <v>84</v>
      </c>
      <c r="C16" s="7" t="s">
        <v>85</v>
      </c>
      <c r="D16" s="7" t="s">
        <v>86</v>
      </c>
      <c r="E16" s="8">
        <v>1</v>
      </c>
      <c r="F16" s="9">
        <v>0</v>
      </c>
      <c r="G16" s="9">
        <v>0</v>
      </c>
      <c r="H16" s="9">
        <v>0</v>
      </c>
      <c r="I16" s="7" t="s">
        <v>80</v>
      </c>
      <c r="J16" s="7" t="s">
        <v>81</v>
      </c>
      <c r="K16" s="7"/>
      <c r="L16" s="7"/>
      <c r="M16" s="7" t="s">
        <v>87</v>
      </c>
    </row>
    <row r="17" spans="1:13" x14ac:dyDescent="0.25">
      <c r="A17" s="7" t="s">
        <v>88</v>
      </c>
      <c r="B17" s="7" t="s">
        <v>89</v>
      </c>
      <c r="C17" s="7" t="s">
        <v>90</v>
      </c>
      <c r="D17" s="7" t="s">
        <v>91</v>
      </c>
      <c r="E17" s="8">
        <v>1</v>
      </c>
      <c r="F17" s="9">
        <v>0</v>
      </c>
      <c r="G17" s="9">
        <v>0</v>
      </c>
      <c r="H17" s="9">
        <v>0</v>
      </c>
      <c r="I17" s="7" t="s">
        <v>80</v>
      </c>
      <c r="J17" s="7" t="s">
        <v>81</v>
      </c>
      <c r="K17" s="7"/>
      <c r="L17" s="7"/>
      <c r="M17" s="7" t="s">
        <v>92</v>
      </c>
    </row>
    <row r="18" spans="1:13" ht="30" x14ac:dyDescent="0.25">
      <c r="A18" s="7" t="s">
        <v>93</v>
      </c>
      <c r="B18" s="7" t="s">
        <v>94</v>
      </c>
      <c r="C18" s="7" t="s">
        <v>95</v>
      </c>
      <c r="D18" s="7" t="s">
        <v>96</v>
      </c>
      <c r="E18" s="8">
        <v>1</v>
      </c>
      <c r="F18" s="9">
        <v>0</v>
      </c>
      <c r="G18" s="9">
        <v>0</v>
      </c>
      <c r="H18" s="9">
        <v>0</v>
      </c>
      <c r="I18" s="7" t="s">
        <v>80</v>
      </c>
      <c r="J18" s="7" t="s">
        <v>81</v>
      </c>
      <c r="K18" s="7"/>
      <c r="L18" s="7"/>
      <c r="M18" s="7" t="s">
        <v>97</v>
      </c>
    </row>
    <row r="19" spans="1:13" x14ac:dyDescent="0.25">
      <c r="A19" s="7" t="s">
        <v>98</v>
      </c>
      <c r="B19" s="7" t="s">
        <v>99</v>
      </c>
      <c r="C19" s="7" t="s">
        <v>100</v>
      </c>
      <c r="D19" s="7" t="s">
        <v>101</v>
      </c>
      <c r="E19" s="8">
        <v>6</v>
      </c>
      <c r="F19" s="9">
        <v>0</v>
      </c>
      <c r="G19" s="9">
        <v>0</v>
      </c>
      <c r="H19" s="9">
        <v>0</v>
      </c>
      <c r="I19" s="7" t="s">
        <v>80</v>
      </c>
      <c r="J19" s="7" t="s">
        <v>81</v>
      </c>
      <c r="K19" s="7"/>
      <c r="L19" s="7"/>
      <c r="M19" s="7" t="s">
        <v>102</v>
      </c>
    </row>
    <row r="20" spans="1:13" x14ac:dyDescent="0.25">
      <c r="A20" s="7" t="s">
        <v>103</v>
      </c>
      <c r="B20" s="7" t="s">
        <v>104</v>
      </c>
      <c r="C20" s="7" t="s">
        <v>105</v>
      </c>
      <c r="D20" s="7" t="s">
        <v>106</v>
      </c>
      <c r="E20" s="8">
        <v>1</v>
      </c>
      <c r="F20" s="9">
        <v>0</v>
      </c>
      <c r="G20" s="9">
        <v>0</v>
      </c>
      <c r="H20" s="9">
        <v>0</v>
      </c>
      <c r="I20" s="7" t="s">
        <v>80</v>
      </c>
      <c r="J20" s="7" t="s">
        <v>81</v>
      </c>
      <c r="K20" s="7"/>
      <c r="L20" s="7"/>
      <c r="M20" s="7" t="s">
        <v>107</v>
      </c>
    </row>
    <row r="21" spans="1:13" ht="30" x14ac:dyDescent="0.25">
      <c r="A21" s="7" t="s">
        <v>108</v>
      </c>
      <c r="B21" s="7" t="s">
        <v>109</v>
      </c>
      <c r="C21" s="7" t="s">
        <v>110</v>
      </c>
      <c r="D21" s="7" t="s">
        <v>111</v>
      </c>
      <c r="E21" s="8">
        <v>1</v>
      </c>
      <c r="F21" s="9">
        <v>0</v>
      </c>
      <c r="G21" s="9">
        <v>0</v>
      </c>
      <c r="H21" s="9">
        <v>0</v>
      </c>
      <c r="I21" s="7" t="s">
        <v>80</v>
      </c>
      <c r="J21" s="7" t="s">
        <v>81</v>
      </c>
      <c r="K21" s="7"/>
      <c r="L21" s="7"/>
      <c r="M21" s="7" t="s">
        <v>112</v>
      </c>
    </row>
    <row r="22" spans="1:13" ht="30" x14ac:dyDescent="0.25">
      <c r="A22" s="7" t="s">
        <v>113</v>
      </c>
      <c r="B22" s="7" t="s">
        <v>114</v>
      </c>
      <c r="C22" s="7" t="s">
        <v>115</v>
      </c>
      <c r="D22" s="7" t="s">
        <v>116</v>
      </c>
      <c r="E22" s="7">
        <v>1</v>
      </c>
      <c r="F22" s="9">
        <v>0</v>
      </c>
      <c r="G22" s="9">
        <v>0</v>
      </c>
      <c r="H22" s="9">
        <v>0</v>
      </c>
      <c r="I22" s="7" t="s">
        <v>80</v>
      </c>
      <c r="J22" s="7" t="s">
        <v>81</v>
      </c>
      <c r="K22" s="7"/>
      <c r="L22" s="7"/>
      <c r="M22" s="7" t="s">
        <v>117</v>
      </c>
    </row>
    <row r="23" spans="1:13" x14ac:dyDescent="0.25">
      <c r="A23" s="7" t="s">
        <v>118</v>
      </c>
      <c r="B23" s="7" t="s">
        <v>114</v>
      </c>
      <c r="C23" s="7" t="s">
        <v>119</v>
      </c>
      <c r="D23" s="7" t="s">
        <v>120</v>
      </c>
      <c r="E23" s="7">
        <v>1</v>
      </c>
      <c r="F23" s="9">
        <v>0</v>
      </c>
      <c r="G23" s="9">
        <v>0</v>
      </c>
      <c r="H23" s="9">
        <v>0</v>
      </c>
      <c r="I23" s="7" t="s">
        <v>80</v>
      </c>
      <c r="J23" s="7" t="s">
        <v>81</v>
      </c>
      <c r="K23" s="7"/>
      <c r="L23" s="7"/>
      <c r="M23" s="7" t="s">
        <v>117</v>
      </c>
    </row>
    <row r="24" spans="1:13" x14ac:dyDescent="0.25">
      <c r="A24" s="7" t="s">
        <v>118</v>
      </c>
      <c r="B24" s="7" t="s">
        <v>114</v>
      </c>
      <c r="C24" s="7" t="s">
        <v>121</v>
      </c>
      <c r="D24" s="7" t="s">
        <v>122</v>
      </c>
      <c r="E24" s="7">
        <v>1</v>
      </c>
      <c r="F24" s="9">
        <v>0</v>
      </c>
      <c r="G24" s="9">
        <v>0</v>
      </c>
      <c r="H24" s="9">
        <v>0</v>
      </c>
      <c r="I24" s="7" t="s">
        <v>80</v>
      </c>
      <c r="J24" s="7" t="s">
        <v>81</v>
      </c>
      <c r="K24" s="7"/>
      <c r="L24" s="7"/>
      <c r="M24" s="7" t="s">
        <v>117</v>
      </c>
    </row>
    <row r="25" spans="1:13" x14ac:dyDescent="0.25">
      <c r="A25" s="7" t="s">
        <v>123</v>
      </c>
      <c r="B25" s="7" t="s">
        <v>114</v>
      </c>
      <c r="C25" s="7" t="s">
        <v>124</v>
      </c>
      <c r="D25" s="7" t="s">
        <v>125</v>
      </c>
      <c r="E25" s="7">
        <v>1</v>
      </c>
      <c r="F25" s="9">
        <v>0</v>
      </c>
      <c r="G25" s="9">
        <v>0</v>
      </c>
      <c r="H25" s="9">
        <v>0</v>
      </c>
      <c r="I25" s="7" t="s">
        <v>80</v>
      </c>
      <c r="J25" s="7" t="s">
        <v>81</v>
      </c>
      <c r="K25" s="7"/>
      <c r="L25" s="7"/>
      <c r="M25" s="7" t="s">
        <v>117</v>
      </c>
    </row>
    <row r="26" spans="1:13" ht="30" x14ac:dyDescent="0.25">
      <c r="A26" s="7" t="s">
        <v>123</v>
      </c>
      <c r="B26" s="7" t="s">
        <v>114</v>
      </c>
      <c r="C26" s="7" t="s">
        <v>126</v>
      </c>
      <c r="D26" s="7" t="s">
        <v>127</v>
      </c>
      <c r="E26" s="7">
        <v>1</v>
      </c>
      <c r="F26" s="9">
        <v>0</v>
      </c>
      <c r="G26" s="9">
        <v>0</v>
      </c>
      <c r="H26" s="9">
        <v>0</v>
      </c>
      <c r="I26" s="7" t="s">
        <v>80</v>
      </c>
      <c r="J26" s="7" t="s">
        <v>81</v>
      </c>
      <c r="K26" s="7"/>
      <c r="L26" s="7"/>
      <c r="M26" s="7" t="s">
        <v>117</v>
      </c>
    </row>
    <row r="27" spans="1:13" x14ac:dyDescent="0.25">
      <c r="A27" s="7" t="s">
        <v>128</v>
      </c>
      <c r="B27" s="7" t="s">
        <v>114</v>
      </c>
      <c r="C27" s="7" t="s">
        <v>129</v>
      </c>
      <c r="D27" s="7" t="s">
        <v>130</v>
      </c>
      <c r="E27" s="7">
        <v>1</v>
      </c>
      <c r="F27" s="9">
        <v>0</v>
      </c>
      <c r="G27" s="9">
        <v>0</v>
      </c>
      <c r="H27" s="9">
        <v>0</v>
      </c>
      <c r="I27" s="7" t="s">
        <v>80</v>
      </c>
      <c r="J27" s="7" t="s">
        <v>81</v>
      </c>
      <c r="K27" s="7"/>
      <c r="L27" s="7"/>
      <c r="M27" s="7" t="s">
        <v>117</v>
      </c>
    </row>
    <row r="28" spans="1:13" x14ac:dyDescent="0.25">
      <c r="A28" s="7"/>
      <c r="B28" s="7"/>
      <c r="C28" s="7"/>
      <c r="D28" s="10" t="s">
        <v>131</v>
      </c>
      <c r="E28" s="7"/>
      <c r="F28" s="7"/>
      <c r="G28" s="7"/>
      <c r="H28" s="9">
        <f>SUM(H4:H27)</f>
        <v>253.55</v>
      </c>
      <c r="I28" s="7"/>
      <c r="J28" s="7"/>
      <c r="K28" s="7"/>
      <c r="L28" s="7"/>
      <c r="M28" s="7"/>
    </row>
  </sheetData>
  <autoFilter ref="A3:M3" xr:uid="{00000000-0009-0000-0000-000001000000}"/>
  <mergeCells count="1">
    <mergeCell ref="A1:M1"/>
  </mergeCells>
  <hyperlinks>
    <hyperlink ref="L4" r:id="rId1" xr:uid="{3DE48A70-5C95-4418-A835-CFD7304726FD}"/>
    <hyperlink ref="L5" r:id="rId2" xr:uid="{68AC4BC8-3E24-422C-B360-1DE306EC563A}"/>
    <hyperlink ref="L6" r:id="rId3" xr:uid="{B43595F0-510E-4155-A6CE-7E23A345E705}"/>
    <hyperlink ref="L7" r:id="rId4" xr:uid="{DE54BA0F-1515-4BFE-A76F-6A0EB1DC7477}"/>
    <hyperlink ref="L8" r:id="rId5" xr:uid="{0D75703F-8866-48E0-874D-19178172C48B}"/>
    <hyperlink ref="L9" r:id="rId6" xr:uid="{7BB11B29-8D38-402F-85C7-46498BA13024}"/>
    <hyperlink ref="L10" r:id="rId7" xr:uid="{BDD560AF-F04F-4BBC-B3BD-5AEEC8B3FC18}"/>
    <hyperlink ref="L11" r:id="rId8" xr:uid="{012D4B26-E864-4B81-83E4-70215D842D46}"/>
    <hyperlink ref="L12" r:id="rId9" xr:uid="{52FB8662-5944-4B7D-9046-B716167C5C62}"/>
    <hyperlink ref="L13" r:id="rId10" xr:uid="{63850A0D-2494-42FC-A62D-625A206CFA74}"/>
    <hyperlink ref="L14" r:id="rId11" xr:uid="{B0A02970-94B6-44F6-95F6-B06238171FB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18" customWidth="1"/>
    <col min="2" max="2" width="16" customWidth="1"/>
    <col min="3" max="4" width="34" customWidth="1"/>
    <col min="5" max="5" width="6" customWidth="1"/>
    <col min="6" max="6" width="14" customWidth="1"/>
    <col min="7" max="7" width="12" customWidth="1"/>
    <col min="8" max="8" width="10" customWidth="1"/>
    <col min="9" max="9" width="24" customWidth="1"/>
    <col min="10" max="10" width="40" customWidth="1"/>
  </cols>
  <sheetData>
    <row r="1" spans="1:10" ht="18.75" x14ac:dyDescent="0.25">
      <c r="A1" s="14" t="s">
        <v>132</v>
      </c>
      <c r="B1" s="15"/>
      <c r="C1" s="15"/>
      <c r="D1" s="15"/>
      <c r="E1" s="15"/>
      <c r="F1" s="15"/>
      <c r="G1" s="15"/>
      <c r="H1" s="15"/>
      <c r="I1" s="15"/>
      <c r="J1" s="15"/>
    </row>
    <row r="3" spans="1:10" x14ac:dyDescent="0.2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133</v>
      </c>
      <c r="G3" s="6" t="s">
        <v>18</v>
      </c>
      <c r="H3" s="6" t="s">
        <v>19</v>
      </c>
      <c r="I3" s="6" t="s">
        <v>21</v>
      </c>
      <c r="J3" s="6" t="s">
        <v>8</v>
      </c>
    </row>
    <row r="4" spans="1:10" ht="30" x14ac:dyDescent="0.25">
      <c r="A4" s="7" t="s">
        <v>134</v>
      </c>
      <c r="B4" s="7" t="s">
        <v>135</v>
      </c>
      <c r="C4" s="7" t="s">
        <v>136</v>
      </c>
      <c r="D4" s="7" t="s">
        <v>137</v>
      </c>
      <c r="E4" s="7">
        <v>1</v>
      </c>
      <c r="F4" s="9">
        <v>0</v>
      </c>
      <c r="G4" s="7" t="s">
        <v>138</v>
      </c>
      <c r="H4" s="7" t="s">
        <v>139</v>
      </c>
      <c r="I4" s="7"/>
      <c r="J4" s="7" t="s">
        <v>140</v>
      </c>
    </row>
    <row r="5" spans="1:10" ht="30" x14ac:dyDescent="0.25">
      <c r="A5" s="7" t="s">
        <v>134</v>
      </c>
      <c r="B5" s="7" t="s">
        <v>141</v>
      </c>
      <c r="C5" s="7" t="s">
        <v>142</v>
      </c>
      <c r="D5" s="7" t="s">
        <v>143</v>
      </c>
      <c r="E5" s="7">
        <v>1</v>
      </c>
      <c r="F5" s="9">
        <v>0</v>
      </c>
      <c r="G5" s="7" t="s">
        <v>138</v>
      </c>
      <c r="H5" s="7" t="s">
        <v>139</v>
      </c>
      <c r="I5" s="7"/>
      <c r="J5" s="7" t="s">
        <v>144</v>
      </c>
    </row>
    <row r="6" spans="1:10" ht="45" x14ac:dyDescent="0.25">
      <c r="A6" s="7" t="s">
        <v>134</v>
      </c>
      <c r="B6" s="7" t="s">
        <v>145</v>
      </c>
      <c r="C6" s="7" t="s">
        <v>146</v>
      </c>
      <c r="D6" s="7" t="s">
        <v>147</v>
      </c>
      <c r="E6" s="7">
        <v>1</v>
      </c>
      <c r="F6" s="9">
        <v>0</v>
      </c>
      <c r="G6" s="7" t="s">
        <v>138</v>
      </c>
      <c r="H6" s="7" t="s">
        <v>139</v>
      </c>
      <c r="I6" s="7"/>
      <c r="J6" s="7" t="s">
        <v>148</v>
      </c>
    </row>
    <row r="7" spans="1:10" x14ac:dyDescent="0.25">
      <c r="A7" s="7"/>
      <c r="B7" s="7"/>
      <c r="C7" s="7"/>
      <c r="D7" s="7" t="s">
        <v>149</v>
      </c>
      <c r="E7" s="7"/>
      <c r="F7" s="9">
        <f>SUM(F4:F6)</f>
        <v>0</v>
      </c>
      <c r="G7" s="7"/>
      <c r="H7" s="7"/>
      <c r="I7" s="7"/>
      <c r="J7" s="7"/>
    </row>
  </sheetData>
  <autoFilter ref="A3:J3" xr:uid="{00000000-0009-0000-0000-000002000000}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abSelected="1" workbookViewId="0">
      <pane ySplit="3" topLeftCell="A4" activePane="bottomLeft" state="frozen"/>
      <selection pane="bottomLeft" activeCell="I4" sqref="I4"/>
    </sheetView>
  </sheetViews>
  <sheetFormatPr defaultRowHeight="15" x14ac:dyDescent="0.25"/>
  <cols>
    <col min="1" max="2" width="16" customWidth="1"/>
    <col min="3" max="4" width="34" customWidth="1"/>
    <col min="5" max="5" width="6" customWidth="1"/>
    <col min="6" max="6" width="14" customWidth="1"/>
    <col min="7" max="8" width="12" customWidth="1"/>
    <col min="9" max="9" width="44" customWidth="1"/>
  </cols>
  <sheetData>
    <row r="1" spans="1:9" ht="18.75" x14ac:dyDescent="0.25">
      <c r="A1" s="14" t="s">
        <v>150</v>
      </c>
      <c r="B1" s="15"/>
      <c r="C1" s="15"/>
      <c r="D1" s="15"/>
      <c r="E1" s="15"/>
      <c r="F1" s="15"/>
      <c r="G1" s="15"/>
      <c r="H1" s="15"/>
      <c r="I1" s="15"/>
    </row>
    <row r="3" spans="1:9" x14ac:dyDescent="0.2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133</v>
      </c>
      <c r="G3" s="6" t="s">
        <v>18</v>
      </c>
      <c r="H3" s="6" t="s">
        <v>151</v>
      </c>
      <c r="I3" s="6" t="s">
        <v>8</v>
      </c>
    </row>
    <row r="4" spans="1:9" ht="30" x14ac:dyDescent="0.25">
      <c r="A4" s="7" t="s">
        <v>88</v>
      </c>
      <c r="B4" s="7" t="s">
        <v>89</v>
      </c>
      <c r="C4" s="7" t="s">
        <v>152</v>
      </c>
      <c r="D4" s="7" t="s">
        <v>153</v>
      </c>
      <c r="E4" s="8">
        <v>1</v>
      </c>
      <c r="F4" s="9">
        <v>12</v>
      </c>
      <c r="G4" s="7" t="s">
        <v>26</v>
      </c>
      <c r="H4" s="7" t="s">
        <v>154</v>
      </c>
      <c r="I4" s="7" t="s">
        <v>155</v>
      </c>
    </row>
    <row r="5" spans="1:9" ht="30" x14ac:dyDescent="0.25">
      <c r="A5" s="7" t="s">
        <v>83</v>
      </c>
      <c r="B5" s="7" t="s">
        <v>114</v>
      </c>
      <c r="C5" s="7" t="s">
        <v>156</v>
      </c>
      <c r="D5" s="7" t="s">
        <v>157</v>
      </c>
      <c r="E5" s="8">
        <v>1</v>
      </c>
      <c r="F5" s="9">
        <v>6</v>
      </c>
      <c r="G5" s="7" t="s">
        <v>26</v>
      </c>
      <c r="H5" s="7" t="s">
        <v>154</v>
      </c>
      <c r="I5" s="7" t="s">
        <v>158</v>
      </c>
    </row>
    <row r="6" spans="1:9" ht="30" x14ac:dyDescent="0.25">
      <c r="A6" s="7" t="s">
        <v>134</v>
      </c>
      <c r="B6" s="7" t="s">
        <v>159</v>
      </c>
      <c r="C6" s="7" t="s">
        <v>160</v>
      </c>
      <c r="D6" s="7" t="s">
        <v>161</v>
      </c>
      <c r="E6" s="8">
        <v>1</v>
      </c>
      <c r="F6" s="9">
        <v>25</v>
      </c>
      <c r="G6" s="7" t="s">
        <v>162</v>
      </c>
      <c r="H6" s="7" t="s">
        <v>154</v>
      </c>
      <c r="I6" s="7" t="s">
        <v>163</v>
      </c>
    </row>
    <row r="7" spans="1:9" ht="30" x14ac:dyDescent="0.25">
      <c r="A7" s="7" t="s">
        <v>134</v>
      </c>
      <c r="B7" s="7" t="s">
        <v>164</v>
      </c>
      <c r="C7" s="7" t="s">
        <v>165</v>
      </c>
      <c r="D7" s="7" t="s">
        <v>166</v>
      </c>
      <c r="E7" s="8">
        <v>1</v>
      </c>
      <c r="F7" s="9">
        <v>15</v>
      </c>
      <c r="G7" s="7" t="s">
        <v>26</v>
      </c>
      <c r="H7" s="7" t="s">
        <v>154</v>
      </c>
      <c r="I7" s="7"/>
    </row>
    <row r="8" spans="1:9" x14ac:dyDescent="0.25">
      <c r="A8" s="7" t="s">
        <v>167</v>
      </c>
      <c r="B8" s="7" t="s">
        <v>168</v>
      </c>
      <c r="C8" s="7" t="s">
        <v>169</v>
      </c>
      <c r="D8" s="7" t="s">
        <v>170</v>
      </c>
      <c r="E8" s="8">
        <v>6</v>
      </c>
      <c r="F8" s="9">
        <v>10</v>
      </c>
      <c r="G8" s="7" t="s">
        <v>67</v>
      </c>
      <c r="H8" s="7" t="s">
        <v>154</v>
      </c>
      <c r="I8" s="7" t="s">
        <v>171</v>
      </c>
    </row>
    <row r="9" spans="1:9" x14ac:dyDescent="0.25">
      <c r="A9" s="7" t="s">
        <v>103</v>
      </c>
      <c r="B9" s="7" t="s">
        <v>104</v>
      </c>
      <c r="C9" s="7" t="s">
        <v>172</v>
      </c>
      <c r="D9" s="7" t="s">
        <v>173</v>
      </c>
      <c r="E9" s="8">
        <v>1</v>
      </c>
      <c r="F9" s="9">
        <v>20</v>
      </c>
      <c r="G9" s="7" t="s">
        <v>162</v>
      </c>
      <c r="H9" s="7" t="s">
        <v>154</v>
      </c>
      <c r="I9" s="7"/>
    </row>
    <row r="10" spans="1:9" ht="45" x14ac:dyDescent="0.25">
      <c r="A10" s="7" t="s">
        <v>88</v>
      </c>
      <c r="B10" s="7" t="s">
        <v>174</v>
      </c>
      <c r="C10" s="7" t="s">
        <v>175</v>
      </c>
      <c r="D10" s="7" t="s">
        <v>176</v>
      </c>
      <c r="E10" s="7">
        <v>1</v>
      </c>
      <c r="F10" s="9">
        <v>8</v>
      </c>
      <c r="G10" s="7" t="s">
        <v>26</v>
      </c>
      <c r="H10" s="7" t="s">
        <v>154</v>
      </c>
      <c r="I10" s="7" t="s">
        <v>177</v>
      </c>
    </row>
    <row r="11" spans="1:9" ht="30" x14ac:dyDescent="0.25">
      <c r="A11" s="7" t="s">
        <v>113</v>
      </c>
      <c r="B11" s="7" t="s">
        <v>178</v>
      </c>
      <c r="C11" s="7" t="s">
        <v>179</v>
      </c>
      <c r="D11" s="7" t="s">
        <v>180</v>
      </c>
      <c r="E11" s="7">
        <v>1</v>
      </c>
      <c r="F11" s="9">
        <v>10</v>
      </c>
      <c r="G11" s="7" t="s">
        <v>26</v>
      </c>
      <c r="H11" s="7" t="s">
        <v>154</v>
      </c>
      <c r="I11" s="7" t="s">
        <v>181</v>
      </c>
    </row>
    <row r="12" spans="1:9" ht="30" x14ac:dyDescent="0.25">
      <c r="A12" s="7" t="s">
        <v>113</v>
      </c>
      <c r="B12" s="7" t="s">
        <v>178</v>
      </c>
      <c r="C12" s="7" t="s">
        <v>182</v>
      </c>
      <c r="D12" s="7" t="s">
        <v>183</v>
      </c>
      <c r="E12" s="7">
        <v>1</v>
      </c>
      <c r="F12" s="9">
        <v>8</v>
      </c>
      <c r="G12" s="7" t="s">
        <v>26</v>
      </c>
      <c r="H12" s="7" t="s">
        <v>154</v>
      </c>
      <c r="I12" s="7" t="s">
        <v>184</v>
      </c>
    </row>
    <row r="13" spans="1:9" x14ac:dyDescent="0.25">
      <c r="A13" s="7"/>
      <c r="B13" s="7"/>
      <c r="C13" s="7"/>
      <c r="D13" s="10" t="s">
        <v>149</v>
      </c>
      <c r="E13" s="7"/>
      <c r="F13" s="9">
        <f>SUM(F4:F12)</f>
        <v>114</v>
      </c>
      <c r="G13" s="7"/>
      <c r="H13" s="7"/>
      <c r="I13" s="7"/>
    </row>
  </sheetData>
  <autoFilter ref="A3:I3" xr:uid="{00000000-0009-0000-0000-000003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Purchased &amp; Owned</vt:lpstr>
      <vt:lpstr>Needed to Run</vt:lpstr>
      <vt:lpstr>Future Upgrades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 Soumaila Soufiyane</cp:lastModifiedBy>
  <dcterms:created xsi:type="dcterms:W3CDTF">2026-01-04T02:23:36Z</dcterms:created>
  <dcterms:modified xsi:type="dcterms:W3CDTF">2026-01-14T03:38:08Z</dcterms:modified>
</cp:coreProperties>
</file>